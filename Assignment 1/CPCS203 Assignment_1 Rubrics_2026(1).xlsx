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abeer/Documents/KAU/courses/203/Spring2026/hw/1/"/>
    </mc:Choice>
  </mc:AlternateContent>
  <xr:revisionPtr revIDLastSave="0" documentId="13_ncr:1_{1EDB20BA-9D7F-C646-96E7-DEE577EABAAD}" xr6:coauthVersionLast="47" xr6:coauthVersionMax="47" xr10:uidLastSave="{00000000-0000-0000-0000-000000000000}"/>
  <bookViews>
    <workbookView xWindow="160" yWindow="660" windowWidth="28480" windowHeight="15780" xr2:uid="{00000000-000D-0000-FFFF-FFFF00000000}"/>
  </bookViews>
  <sheets>
    <sheet name="Mark Distribution" sheetId="3" r:id="rId1"/>
    <sheet name="Genreal features evalua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8" i="3" l="1"/>
  <c r="E54" i="3"/>
  <c r="D54" i="3"/>
  <c r="D51" i="3"/>
  <c r="D48" i="3"/>
  <c r="E13" i="3"/>
  <c r="E36" i="3"/>
  <c r="D36" i="3"/>
  <c r="E40" i="3"/>
  <c r="D40" i="3"/>
  <c r="E31" i="3" l="1"/>
  <c r="E51" i="3"/>
  <c r="E26" i="3"/>
  <c r="E21" i="3"/>
  <c r="E17" i="3"/>
  <c r="D31" i="3"/>
  <c r="D26" i="3"/>
  <c r="D21" i="3"/>
  <c r="D17" i="3"/>
  <c r="D13" i="3"/>
  <c r="E55" i="3" l="1"/>
  <c r="E56" i="3" s="1"/>
  <c r="D55" i="3"/>
  <c r="D56" i="3" s="1"/>
</calcChain>
</file>

<file path=xl/sharedStrings.xml><?xml version="1.0" encoding="utf-8"?>
<sst xmlns="http://schemas.openxmlformats.org/spreadsheetml/2006/main" count="106" uniqueCount="90">
  <si>
    <t>King Abdulaziz University	
Faculty of Computing and Information Systems	
Course Code: CPCS203       Course Name: Programming II</t>
  </si>
  <si>
    <t>Student ID</t>
  </si>
  <si>
    <t>Student Name</t>
  </si>
  <si>
    <t>Task</t>
  </si>
  <si>
    <t>Procedure</t>
  </si>
  <si>
    <t>Point</t>
  </si>
  <si>
    <t>Student Point</t>
  </si>
  <si>
    <t>Reading the input file</t>
  </si>
  <si>
    <t>Create file objects for reading the input files</t>
  </si>
  <si>
    <t>Create scanner objects for read the input files</t>
  </si>
  <si>
    <t>Check whether or not input files exist</t>
  </si>
  <si>
    <t>Total</t>
  </si>
  <si>
    <t>Writing the output file</t>
  </si>
  <si>
    <t>Create file objects for writing to output files</t>
  </si>
  <si>
    <t>Create PrintWriter objects to write to output files</t>
  </si>
  <si>
    <t>Close the objects after writing to the output files</t>
  </si>
  <si>
    <t>Declare all required array with correct size</t>
  </si>
  <si>
    <t>Creating the array with the given size.</t>
  </si>
  <si>
    <t>Implement all the classes as sepcified in UML diagram</t>
  </si>
  <si>
    <t xml:space="preserve">Read the command from file and interpret it </t>
  </si>
  <si>
    <t>Read the arguments of the command</t>
  </si>
  <si>
    <t>Mark</t>
  </si>
  <si>
    <t>Read the arrays sizes from the input files</t>
  </si>
  <si>
    <t xml:space="preserve">Unsatisfactory </t>
  </si>
  <si>
    <t>Good</t>
  </si>
  <si>
    <t>Excellent</t>
  </si>
  <si>
    <t>(0. 5)</t>
  </si>
  <si>
    <t>Delivery</t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</si>
  <si>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Completed less than 70% of the requirements.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</si>
  <si>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Completed between 70-90% of the requirements.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</si>
  <si>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Completed between 90-100% of the requirements.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</si>
  <si>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Not delivered on time or not in correct format (disk, email, etc.)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</si>
  <si>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Delivered on time, and in correct format (disk, email, etc.)</t>
    </r>
  </si>
  <si>
    <t>Coding Standards</t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</si>
  <si>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No name, date, or assignment title included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</si>
  <si>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Includes name, date, and assignment title.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</si>
  <si>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 xml:space="preserve">Includes name, date, and assignment title. 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</si>
  <si>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Poor use of white space (indentation, blank lines).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</si>
  <si>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Good use of white space.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</si>
  <si>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Excellent use of white space.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</si>
  <si>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Disorganized and messy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</si>
  <si>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Organized work.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</si>
  <si>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Creatively organized work.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</si>
  <si>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Poor use of variables (many global variables, ambiguous naming).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</si>
  <si>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Good  use of variables (few global variables, unambiguous naming)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</si>
  <si>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Excellent use of variables (no global variables, unambiguous naming).</t>
    </r>
  </si>
  <si>
    <t>Documentation</t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</si>
  <si>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No documentation included.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</si>
  <si>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 xml:space="preserve">Basic documentation has been completed including descriptions of all variables. 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</si>
  <si>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 xml:space="preserve">Clearly and effectively documented including descriptions of all variables. 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</si>
  <si>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 xml:space="preserve">purpose is noted for each function 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</si>
  <si>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Specific purpose is noted for each function, control structure, input requirements, and output results.</t>
    </r>
  </si>
  <si>
    <t>Runtime</t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</si>
  <si>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Does not execute due to errors.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</si>
  <si>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 xml:space="preserve">Executes without errors. 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</si>
  <si>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Executes without errors excellent user prompts, good use of symbols, spacing in output.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</si>
  <si>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User prompts are misleading or non-existent.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</si>
  <si>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User prompts are understandable, minimum use of symbols or spacing in output.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</si>
  <si>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Thorough and organized testing has been completed and output from test cases is included.</t>
    </r>
  </si>
  <si>
    <t>Efficiency</t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</si>
  <si>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A difficult and inefficient solution.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</si>
  <si>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A logical solution that is easy to follow but it is not the most efficient.</t>
    </r>
  </si>
  <si>
    <r>
      <t>·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>Solution is efficient, easy to understand, and maintain.</t>
    </r>
  </si>
  <si>
    <t xml:space="preserve">Print a final report </t>
  </si>
  <si>
    <t>Print detailed Information</t>
  </si>
  <si>
    <t>Assignment # 1 (Library Borrowing &amp; Fine Management System)</t>
  </si>
  <si>
    <t>Creating all arrays</t>
  </si>
  <si>
    <t>print all details  into LibraryDB.txt</t>
  </si>
  <si>
    <t>Print report with total bowroed books per member</t>
  </si>
  <si>
    <t xml:space="preserve"> AddMember command</t>
  </si>
  <si>
    <t>Create a new member object with the appropriate arguments</t>
  </si>
  <si>
    <t>Add the new member object to the array</t>
  </si>
  <si>
    <t xml:space="preserve"> AddBook command</t>
  </si>
  <si>
    <t>Create a new book object with the appropriate arguments</t>
  </si>
  <si>
    <t>Add the new book object to the array</t>
  </si>
  <si>
    <t>AddFineRule command</t>
  </si>
  <si>
    <t>Add the new fine to the array</t>
  </si>
  <si>
    <t>print each issused borrowed book with all required details in proper format</t>
  </si>
  <si>
    <t>IssueBorrow command &amp; Generate Borrow Record Information</t>
  </si>
  <si>
    <t xml:space="preserve">Read the command (IssueBorrow) and interpret it </t>
  </si>
  <si>
    <t>Calculate the final fine amount and apply additional fines in the following cases: (1)
Underage Member (member age below 18 years) (2) Old Book (book published before year 2000)</t>
  </si>
  <si>
    <r>
      <t xml:space="preserve">For borrowing, search the </t>
    </r>
    <r>
      <rPr>
        <b/>
        <sz val="11"/>
        <color theme="1"/>
        <rFont val="Calibri"/>
        <family val="2"/>
        <charset val="178"/>
        <scheme val="minor"/>
      </rPr>
      <t>Fine Rules array</t>
    </r>
    <r>
      <rPr>
        <sz val="11"/>
        <color theme="1"/>
        <rFont val="Calibri"/>
        <family val="2"/>
        <charset val="178"/>
        <scheme val="minor"/>
      </rPr>
      <t xml:space="preserve"> to find the fine amount associated with the </t>
    </r>
    <r>
      <rPr>
        <b/>
        <sz val="11"/>
        <color theme="1"/>
        <rFont val="Calibri"/>
        <family val="2"/>
        <charset val="178"/>
        <scheme val="minor"/>
      </rPr>
      <t>fine code and severity level</t>
    </r>
  </si>
  <si>
    <t>For borrowing, match the book using its ISBN number</t>
  </si>
  <si>
    <r>
      <t xml:space="preserve">For borrowing, search the </t>
    </r>
    <r>
      <rPr>
        <b/>
        <sz val="11"/>
        <color theme="1"/>
        <rFont val="Calibri"/>
        <family val="2"/>
        <charset val="178"/>
        <scheme val="minor"/>
      </rPr>
      <t>member</t>
    </r>
    <r>
      <rPr>
        <sz val="11"/>
        <color theme="1"/>
        <rFont val="Calibri"/>
        <family val="2"/>
        <charset val="178"/>
        <scheme val="minor"/>
      </rPr>
      <t xml:space="preserve"> using the </t>
    </r>
    <r>
      <rPr>
        <b/>
        <sz val="11"/>
        <color theme="1"/>
        <rFont val="Calibri"/>
        <family val="2"/>
        <charset val="178"/>
        <scheme val="minor"/>
      </rPr>
      <t>Member ID</t>
    </r>
  </si>
  <si>
    <r>
      <t xml:space="preserve">For borrowing, assign a </t>
    </r>
    <r>
      <rPr>
        <b/>
        <sz val="11"/>
        <color theme="1"/>
        <rFont val="Calibri"/>
        <family val="2"/>
        <charset val="178"/>
        <scheme val="minor"/>
      </rPr>
      <t>unique borrow record number</t>
    </r>
    <r>
      <rPr>
        <sz val="11"/>
        <color theme="1"/>
        <rFont val="Calibri"/>
        <family val="2"/>
        <charset val="178"/>
        <scheme val="minor"/>
      </rPr>
      <t xml:space="preserve">, starting from </t>
    </r>
    <r>
      <rPr>
        <b/>
        <sz val="11"/>
        <color theme="1"/>
        <rFont val="Calibri"/>
        <family val="2"/>
        <charset val="178"/>
        <scheme val="minor"/>
      </rPr>
      <t>1</t>
    </r>
    <r>
      <rPr>
        <sz val="11"/>
        <color theme="1"/>
        <rFont val="Calibri"/>
        <family val="2"/>
        <charset val="178"/>
        <scheme val="minor"/>
      </rPr>
      <t xml:space="preserve"> and incrementing with each new record</t>
    </r>
  </si>
  <si>
    <t>Create Book class along with its setters, getters, and appropriate methods</t>
  </si>
  <si>
    <t>Create Member class along with its setters, getters, and appropriate methods</t>
  </si>
  <si>
    <t>Create BorrowRecord class along with its setters, getters, and appropriate methods</t>
  </si>
  <si>
    <t>Create LibrarySystem main class with appropriate functions</t>
  </si>
  <si>
    <t>Calculate the total number of borrows per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</si>
</sst>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charset val="17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FBFBF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2" borderId="6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2" fillId="8" borderId="5" xfId="0" applyFont="1" applyFill="1" applyBorder="1" applyAlignment="1">
      <alignment horizontal="center" vertical="top" wrapText="1"/>
    </xf>
    <xf numFmtId="0" fontId="12" fillId="8" borderId="6" xfId="0" applyFont="1" applyFill="1" applyBorder="1" applyAlignment="1">
      <alignment horizontal="center" vertical="top" wrapText="1"/>
    </xf>
    <xf numFmtId="0" fontId="14" fillId="0" borderId="11" xfId="0" applyFont="1" applyBorder="1" applyAlignment="1">
      <alignment horizontal="left" vertical="top" wrapText="1" indent="1"/>
    </xf>
    <xf numFmtId="0" fontId="14" fillId="0" borderId="6" xfId="0" applyFont="1" applyBorder="1" applyAlignment="1">
      <alignment horizontal="left" vertical="top" wrapText="1" indent="1"/>
    </xf>
    <xf numFmtId="0" fontId="13" fillId="8" borderId="1" xfId="0" applyFont="1" applyFill="1" applyBorder="1" applyAlignment="1">
      <alignment horizontal="center" textRotation="90" wrapText="1"/>
    </xf>
    <xf numFmtId="0" fontId="14" fillId="0" borderId="4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textRotation="90" wrapText="1"/>
    </xf>
    <xf numFmtId="0" fontId="13" fillId="8" borderId="3" xfId="0" applyFont="1" applyFill="1" applyBorder="1" applyAlignment="1">
      <alignment horizontal="center" textRotation="90" wrapText="1"/>
    </xf>
    <xf numFmtId="0" fontId="12" fillId="8" borderId="2" xfId="0" applyFont="1" applyFill="1" applyBorder="1" applyAlignment="1">
      <alignment vertical="top" wrapText="1"/>
    </xf>
    <xf numFmtId="0" fontId="12" fillId="8" borderId="3" xfId="0" applyFont="1" applyFill="1" applyBorder="1" applyAlignment="1">
      <alignment vertical="top" wrapText="1"/>
    </xf>
    <xf numFmtId="0" fontId="13" fillId="8" borderId="7" xfId="0" applyFont="1" applyFill="1" applyBorder="1" applyAlignment="1">
      <alignment horizontal="center" textRotation="90" wrapText="1"/>
    </xf>
    <xf numFmtId="0" fontId="14" fillId="0" borderId="2" xfId="0" applyFont="1" applyBorder="1" applyAlignment="1">
      <alignment horizontal="left" vertical="top" wrapText="1" indent="1"/>
    </xf>
    <xf numFmtId="0" fontId="14" fillId="0" borderId="3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403860</xdr:colOff>
      <xdr:row>1</xdr:row>
      <xdr:rowOff>53340</xdr:rowOff>
    </xdr:from>
    <xdr:to>
      <xdr:col>1</xdr:col>
      <xdr:colOff>1927860</xdr:colOff>
      <xdr:row>1</xdr:row>
      <xdr:rowOff>1577340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AA9291-57A7-4930-827F-E5BD3885B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3460" y="243840"/>
          <a:ext cx="1524000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6"/>
  <sheetViews>
    <sheetView tabSelected="1" zoomScale="86" zoomScaleNormal="90" workbookViewId="0">
      <selection activeCell="I55" sqref="I55"/>
    </sheetView>
  </sheetViews>
  <sheetFormatPr baseColWidth="10" defaultColWidth="8.83203125" defaultRowHeight="15" x14ac:dyDescent="0.2"/>
  <cols>
    <col min="1" max="1" width="8.83203125" customWidth="1"/>
    <col min="2" max="2" width="35.5" customWidth="1"/>
    <col min="3" max="3" width="84" customWidth="1"/>
    <col min="4" max="4" width="10" bestFit="1" customWidth="1"/>
    <col min="5" max="5" width="18.83203125" customWidth="1"/>
  </cols>
  <sheetData>
    <row r="1" spans="2:5" ht="16" thickBot="1" x14ac:dyDescent="0.25"/>
    <row r="2" spans="2:5" ht="129.5" customHeight="1" thickBot="1" x14ac:dyDescent="0.25">
      <c r="B2" s="28" t="s">
        <v>0</v>
      </c>
      <c r="C2" s="29"/>
      <c r="D2" s="29"/>
      <c r="E2" s="30"/>
    </row>
    <row r="3" spans="2:5" ht="9" customHeight="1" thickBot="1" x14ac:dyDescent="0.25">
      <c r="B3" s="15"/>
      <c r="C3" s="16"/>
      <c r="D3" s="16"/>
      <c r="E3" s="16"/>
    </row>
    <row r="4" spans="2:5" ht="19.25" customHeight="1" thickBot="1" x14ac:dyDescent="0.25">
      <c r="B4" s="36" t="s">
        <v>65</v>
      </c>
      <c r="C4" s="37"/>
      <c r="D4" s="37"/>
      <c r="E4" s="38"/>
    </row>
    <row r="5" spans="2:5" ht="10.25" customHeight="1" thickBot="1" x14ac:dyDescent="0.25">
      <c r="B5" s="13"/>
      <c r="C5" s="13"/>
      <c r="D5" s="13"/>
      <c r="E5" s="13"/>
    </row>
    <row r="6" spans="2:5" ht="28.75" customHeight="1" thickBot="1" x14ac:dyDescent="0.25">
      <c r="B6" s="14" t="s">
        <v>1</v>
      </c>
      <c r="C6" s="31"/>
      <c r="D6" s="31"/>
      <c r="E6" s="32"/>
    </row>
    <row r="7" spans="2:5" ht="28.75" customHeight="1" thickBot="1" x14ac:dyDescent="0.25">
      <c r="B7" s="14" t="s">
        <v>2</v>
      </c>
      <c r="C7" s="33"/>
      <c r="D7" s="34"/>
      <c r="E7" s="35"/>
    </row>
    <row r="8" spans="2:5" ht="16" thickBot="1" x14ac:dyDescent="0.25"/>
    <row r="9" spans="2:5" ht="30" customHeight="1" thickBot="1" x14ac:dyDescent="0.25">
      <c r="B9" s="2" t="s">
        <v>3</v>
      </c>
      <c r="C9" s="3" t="s">
        <v>4</v>
      </c>
      <c r="D9" s="3" t="s">
        <v>5</v>
      </c>
      <c r="E9" s="2" t="s">
        <v>6</v>
      </c>
    </row>
    <row r="10" spans="2:5" ht="30" customHeight="1" thickBot="1" x14ac:dyDescent="0.25">
      <c r="B10" s="25" t="s">
        <v>7</v>
      </c>
      <c r="C10" s="17" t="s">
        <v>8</v>
      </c>
      <c r="D10" s="9">
        <v>4</v>
      </c>
      <c r="E10" s="10"/>
    </row>
    <row r="11" spans="2:5" ht="30" customHeight="1" thickBot="1" x14ac:dyDescent="0.25">
      <c r="B11" s="26"/>
      <c r="C11" s="17" t="s">
        <v>9</v>
      </c>
      <c r="D11" s="9">
        <v>4</v>
      </c>
      <c r="E11" s="10"/>
    </row>
    <row r="12" spans="2:5" ht="30" customHeight="1" thickBot="1" x14ac:dyDescent="0.25">
      <c r="B12" s="26"/>
      <c r="C12" s="17" t="s">
        <v>10</v>
      </c>
      <c r="D12" s="9">
        <v>2</v>
      </c>
      <c r="E12" s="10"/>
    </row>
    <row r="13" spans="2:5" ht="30" customHeight="1" thickBot="1" x14ac:dyDescent="0.25">
      <c r="B13" s="27"/>
      <c r="C13" s="1" t="s">
        <v>11</v>
      </c>
      <c r="D13" s="11">
        <f>SUM(D10:D12)</f>
        <v>10</v>
      </c>
      <c r="E13" s="12">
        <f>SUM(E10:E12)</f>
        <v>0</v>
      </c>
    </row>
    <row r="14" spans="2:5" ht="30" customHeight="1" thickBot="1" x14ac:dyDescent="0.25">
      <c r="B14" s="25" t="s">
        <v>12</v>
      </c>
      <c r="C14" s="17" t="s">
        <v>13</v>
      </c>
      <c r="D14" s="9">
        <v>4</v>
      </c>
      <c r="E14" s="10"/>
    </row>
    <row r="15" spans="2:5" ht="30" customHeight="1" thickBot="1" x14ac:dyDescent="0.25">
      <c r="B15" s="26"/>
      <c r="C15" s="17" t="s">
        <v>14</v>
      </c>
      <c r="D15" s="9">
        <v>4</v>
      </c>
      <c r="E15" s="10"/>
    </row>
    <row r="16" spans="2:5" ht="30" customHeight="1" thickBot="1" x14ac:dyDescent="0.25">
      <c r="B16" s="26"/>
      <c r="C16" s="17" t="s">
        <v>15</v>
      </c>
      <c r="D16" s="9">
        <v>2</v>
      </c>
      <c r="E16" s="10"/>
    </row>
    <row r="17" spans="2:5" ht="30" customHeight="1" thickBot="1" x14ac:dyDescent="0.25">
      <c r="B17" s="27"/>
      <c r="C17" s="1" t="s">
        <v>11</v>
      </c>
      <c r="D17" s="11">
        <f>SUM(D14:D16)</f>
        <v>10</v>
      </c>
      <c r="E17" s="12">
        <f>SUM(E14:E16)</f>
        <v>0</v>
      </c>
    </row>
    <row r="18" spans="2:5" ht="30" customHeight="1" thickBot="1" x14ac:dyDescent="0.25">
      <c r="B18" s="25" t="s">
        <v>66</v>
      </c>
      <c r="C18" s="17" t="s">
        <v>16</v>
      </c>
      <c r="D18" s="9">
        <v>8</v>
      </c>
      <c r="E18" s="10"/>
    </row>
    <row r="19" spans="2:5" ht="30" customHeight="1" thickBot="1" x14ac:dyDescent="0.25">
      <c r="B19" s="26"/>
      <c r="C19" s="17" t="s">
        <v>22</v>
      </c>
      <c r="D19" s="9">
        <v>2</v>
      </c>
      <c r="E19" s="10"/>
    </row>
    <row r="20" spans="2:5" ht="30" customHeight="1" thickBot="1" x14ac:dyDescent="0.25">
      <c r="B20" s="26"/>
      <c r="C20" s="17" t="s">
        <v>17</v>
      </c>
      <c r="D20" s="9">
        <v>2</v>
      </c>
      <c r="E20" s="10"/>
    </row>
    <row r="21" spans="2:5" ht="30" customHeight="1" thickBot="1" x14ac:dyDescent="0.25">
      <c r="B21" s="27"/>
      <c r="C21" s="1" t="s">
        <v>11</v>
      </c>
      <c r="D21" s="11">
        <f>SUM(D18:D20)</f>
        <v>12</v>
      </c>
      <c r="E21" s="12">
        <f>SUM(E18:E20)</f>
        <v>0</v>
      </c>
    </row>
    <row r="22" spans="2:5" ht="30" customHeight="1" thickBot="1" x14ac:dyDescent="0.25">
      <c r="B22" s="25" t="s">
        <v>18</v>
      </c>
      <c r="C22" s="18" t="s">
        <v>88</v>
      </c>
      <c r="D22" s="9">
        <v>3</v>
      </c>
      <c r="E22" s="10"/>
    </row>
    <row r="23" spans="2:5" ht="30" customHeight="1" thickBot="1" x14ac:dyDescent="0.25">
      <c r="B23" s="26"/>
      <c r="C23" s="18" t="s">
        <v>85</v>
      </c>
      <c r="D23" s="9">
        <v>3</v>
      </c>
      <c r="E23" s="10"/>
    </row>
    <row r="24" spans="2:5" ht="30" customHeight="1" thickBot="1" x14ac:dyDescent="0.25">
      <c r="B24" s="26"/>
      <c r="C24" s="18" t="s">
        <v>86</v>
      </c>
      <c r="D24" s="9">
        <v>3</v>
      </c>
      <c r="E24" s="10"/>
    </row>
    <row r="25" spans="2:5" ht="30" customHeight="1" thickBot="1" x14ac:dyDescent="0.25">
      <c r="B25" s="26"/>
      <c r="C25" s="18" t="s">
        <v>87</v>
      </c>
      <c r="D25" s="9">
        <v>3</v>
      </c>
      <c r="E25" s="10"/>
    </row>
    <row r="26" spans="2:5" ht="30" customHeight="1" thickBot="1" x14ac:dyDescent="0.25">
      <c r="B26" s="27"/>
      <c r="C26" s="1" t="s">
        <v>11</v>
      </c>
      <c r="D26" s="11">
        <f>SUM(D22:D25)</f>
        <v>12</v>
      </c>
      <c r="E26" s="12">
        <f>SUM(E22:E25)</f>
        <v>0</v>
      </c>
    </row>
    <row r="27" spans="2:5" ht="30" customHeight="1" thickBot="1" x14ac:dyDescent="0.25">
      <c r="B27" s="25" t="s">
        <v>69</v>
      </c>
      <c r="C27" s="17" t="s">
        <v>19</v>
      </c>
      <c r="D27" s="9">
        <v>2</v>
      </c>
      <c r="E27" s="10"/>
    </row>
    <row r="28" spans="2:5" ht="30" customHeight="1" thickBot="1" x14ac:dyDescent="0.25">
      <c r="B28" s="26"/>
      <c r="C28" s="17" t="s">
        <v>20</v>
      </c>
      <c r="D28" s="9">
        <v>2</v>
      </c>
      <c r="E28" s="10"/>
    </row>
    <row r="29" spans="2:5" ht="30" customHeight="1" thickBot="1" x14ac:dyDescent="0.25">
      <c r="B29" s="26"/>
      <c r="C29" s="18" t="s">
        <v>70</v>
      </c>
      <c r="D29" s="9">
        <v>3</v>
      </c>
      <c r="E29" s="10"/>
    </row>
    <row r="30" spans="2:5" ht="30" customHeight="1" thickBot="1" x14ac:dyDescent="0.25">
      <c r="B30" s="26"/>
      <c r="C30" s="18" t="s">
        <v>71</v>
      </c>
      <c r="D30" s="9">
        <v>3</v>
      </c>
      <c r="E30" s="10"/>
    </row>
    <row r="31" spans="2:5" ht="30" customHeight="1" thickBot="1" x14ac:dyDescent="0.25">
      <c r="B31" s="27"/>
      <c r="C31" s="1" t="s">
        <v>11</v>
      </c>
      <c r="D31" s="11">
        <f>SUM(D27:D30)</f>
        <v>10</v>
      </c>
      <c r="E31" s="12">
        <f>SUM(E27:E30)</f>
        <v>0</v>
      </c>
    </row>
    <row r="32" spans="2:5" ht="30" customHeight="1" x14ac:dyDescent="0.2">
      <c r="B32" s="25" t="s">
        <v>72</v>
      </c>
      <c r="C32" s="17" t="s">
        <v>19</v>
      </c>
      <c r="D32" s="9">
        <v>2</v>
      </c>
      <c r="E32" s="10"/>
    </row>
    <row r="33" spans="2:5" ht="30" customHeight="1" x14ac:dyDescent="0.2">
      <c r="B33" s="26"/>
      <c r="C33" s="17" t="s">
        <v>20</v>
      </c>
      <c r="D33" s="9">
        <v>2</v>
      </c>
      <c r="E33" s="10"/>
    </row>
    <row r="34" spans="2:5" ht="30" customHeight="1" thickBot="1" x14ac:dyDescent="0.25">
      <c r="B34" s="26"/>
      <c r="C34" s="18" t="s">
        <v>73</v>
      </c>
      <c r="D34" s="9">
        <v>3</v>
      </c>
      <c r="E34" s="10"/>
    </row>
    <row r="35" spans="2:5" ht="30" customHeight="1" thickBot="1" x14ac:dyDescent="0.25">
      <c r="B35" s="26"/>
      <c r="C35" s="18" t="s">
        <v>74</v>
      </c>
      <c r="D35" s="9">
        <v>3</v>
      </c>
      <c r="E35" s="10"/>
    </row>
    <row r="36" spans="2:5" ht="30" customHeight="1" thickBot="1" x14ac:dyDescent="0.25">
      <c r="B36" s="27"/>
      <c r="C36" s="1" t="s">
        <v>11</v>
      </c>
      <c r="D36" s="11">
        <f>SUM(D32:D35)</f>
        <v>10</v>
      </c>
      <c r="E36" s="12">
        <f>SUM(E32:E35)</f>
        <v>0</v>
      </c>
    </row>
    <row r="37" spans="2:5" ht="30" customHeight="1" x14ac:dyDescent="0.2">
      <c r="B37" s="25" t="s">
        <v>75</v>
      </c>
      <c r="C37" s="17" t="s">
        <v>19</v>
      </c>
      <c r="D37" s="9">
        <v>2</v>
      </c>
      <c r="E37" s="10"/>
    </row>
    <row r="38" spans="2:5" ht="30" customHeight="1" thickBot="1" x14ac:dyDescent="0.25">
      <c r="B38" s="26"/>
      <c r="C38" s="17" t="s">
        <v>20</v>
      </c>
      <c r="D38" s="9">
        <v>2</v>
      </c>
      <c r="E38" s="10"/>
    </row>
    <row r="39" spans="2:5" ht="30" customHeight="1" thickBot="1" x14ac:dyDescent="0.25">
      <c r="B39" s="26"/>
      <c r="C39" s="18" t="s">
        <v>76</v>
      </c>
      <c r="D39" s="9">
        <v>6</v>
      </c>
      <c r="E39" s="10"/>
    </row>
    <row r="40" spans="2:5" ht="30" customHeight="1" thickBot="1" x14ac:dyDescent="0.25">
      <c r="B40" s="27"/>
      <c r="C40" s="1" t="s">
        <v>11</v>
      </c>
      <c r="D40" s="11">
        <f>SUM(D37:D39)</f>
        <v>10</v>
      </c>
      <c r="E40" s="12">
        <f>SUM(E37:E39)</f>
        <v>0</v>
      </c>
    </row>
    <row r="41" spans="2:5" ht="30" customHeight="1" thickBot="1" x14ac:dyDescent="0.25">
      <c r="B41" s="25" t="s">
        <v>78</v>
      </c>
      <c r="C41" s="18" t="s">
        <v>79</v>
      </c>
      <c r="D41" s="9">
        <v>2</v>
      </c>
      <c r="E41" s="10"/>
    </row>
    <row r="42" spans="2:5" ht="30" customHeight="1" thickBot="1" x14ac:dyDescent="0.25">
      <c r="B42" s="26"/>
      <c r="C42" s="17" t="s">
        <v>20</v>
      </c>
      <c r="D42" s="9">
        <v>2</v>
      </c>
      <c r="E42" s="10"/>
    </row>
    <row r="43" spans="2:5" ht="30" customHeight="1" thickBot="1" x14ac:dyDescent="0.25">
      <c r="B43" s="26"/>
      <c r="C43" t="s">
        <v>81</v>
      </c>
      <c r="D43" s="9">
        <v>5</v>
      </c>
      <c r="E43" s="10"/>
    </row>
    <row r="44" spans="2:5" ht="30" customHeight="1" thickBot="1" x14ac:dyDescent="0.25">
      <c r="B44" s="26"/>
      <c r="C44" s="18" t="s">
        <v>82</v>
      </c>
      <c r="D44" s="9">
        <v>2</v>
      </c>
      <c r="E44" s="10"/>
    </row>
    <row r="45" spans="2:5" ht="30" customHeight="1" thickBot="1" x14ac:dyDescent="0.25">
      <c r="B45" s="26"/>
      <c r="C45" t="s">
        <v>83</v>
      </c>
      <c r="D45" s="9">
        <v>2</v>
      </c>
      <c r="E45" s="10"/>
    </row>
    <row r="46" spans="2:5" ht="30" customHeight="1" thickBot="1" x14ac:dyDescent="0.25">
      <c r="B46" s="26"/>
      <c r="C46" t="s">
        <v>84</v>
      </c>
      <c r="D46" s="9">
        <v>2</v>
      </c>
      <c r="E46" s="10"/>
    </row>
    <row r="47" spans="2:5" ht="30" customHeight="1" thickBot="1" x14ac:dyDescent="0.25">
      <c r="B47" s="26"/>
      <c r="C47" s="18" t="s">
        <v>80</v>
      </c>
      <c r="D47" s="9">
        <v>6</v>
      </c>
      <c r="E47" s="10"/>
    </row>
    <row r="48" spans="2:5" ht="30" customHeight="1" thickBot="1" x14ac:dyDescent="0.25">
      <c r="B48" s="27"/>
      <c r="C48" s="1" t="s">
        <v>11</v>
      </c>
      <c r="D48" s="11">
        <f>SUM(D41:D47)</f>
        <v>21</v>
      </c>
      <c r="E48" s="12">
        <f>SUM(E41:E47)</f>
        <v>0</v>
      </c>
    </row>
    <row r="49" spans="2:5" ht="30" customHeight="1" thickBot="1" x14ac:dyDescent="0.25">
      <c r="B49" s="25" t="s">
        <v>64</v>
      </c>
      <c r="C49" s="18" t="s">
        <v>67</v>
      </c>
      <c r="D49" s="9">
        <v>3</v>
      </c>
      <c r="E49" s="10"/>
    </row>
    <row r="50" spans="2:5" ht="30" customHeight="1" thickBot="1" x14ac:dyDescent="0.25">
      <c r="B50" s="26"/>
      <c r="C50" s="18" t="s">
        <v>77</v>
      </c>
      <c r="D50" s="9">
        <v>4</v>
      </c>
      <c r="E50" s="10"/>
    </row>
    <row r="51" spans="2:5" ht="30" customHeight="1" thickBot="1" x14ac:dyDescent="0.25">
      <c r="B51" s="27"/>
      <c r="C51" s="1" t="s">
        <v>11</v>
      </c>
      <c r="D51" s="11">
        <f>SUM(D49:D50)</f>
        <v>7</v>
      </c>
      <c r="E51" s="12">
        <f>SUM(E49:E50)</f>
        <v>0</v>
      </c>
    </row>
    <row r="52" spans="2:5" ht="30" customHeight="1" thickBot="1" x14ac:dyDescent="0.25">
      <c r="B52" s="25" t="s">
        <v>63</v>
      </c>
      <c r="C52" s="18" t="s">
        <v>89</v>
      </c>
      <c r="D52" s="9">
        <v>3</v>
      </c>
      <c r="E52" s="10"/>
    </row>
    <row r="53" spans="2:5" ht="30" customHeight="1" thickBot="1" x14ac:dyDescent="0.25">
      <c r="B53" s="26"/>
      <c r="C53" s="18" t="s">
        <v>68</v>
      </c>
      <c r="D53" s="9">
        <v>5</v>
      </c>
      <c r="E53" s="10"/>
    </row>
    <row r="54" spans="2:5" ht="30" customHeight="1" thickBot="1" x14ac:dyDescent="0.25">
      <c r="B54" s="27"/>
      <c r="C54" s="1" t="s">
        <v>11</v>
      </c>
      <c r="D54" s="11">
        <f>SUM(D52:D53)</f>
        <v>8</v>
      </c>
      <c r="E54" s="12">
        <f>SUM(E52:E53)</f>
        <v>0</v>
      </c>
    </row>
    <row r="55" spans="2:5" ht="35.5" customHeight="1" thickBot="1" x14ac:dyDescent="0.25">
      <c r="C55" s="5" t="s">
        <v>11</v>
      </c>
      <c r="D55" s="4">
        <f>SUM(D13,D17,D21,D26,D31,D36,D48,D51, D54)</f>
        <v>100</v>
      </c>
      <c r="E55" s="4">
        <f>SUM(E13,E17,E21,E26,E31,E36,E48,E51,E54)</f>
        <v>0</v>
      </c>
    </row>
    <row r="56" spans="2:5" ht="31" thickBot="1" x14ac:dyDescent="0.4">
      <c r="C56" s="6" t="s">
        <v>21</v>
      </c>
      <c r="D56" s="7">
        <f>D55/100*10</f>
        <v>10</v>
      </c>
      <c r="E56" s="8">
        <f>E55/100*10</f>
        <v>0</v>
      </c>
    </row>
  </sheetData>
  <mergeCells count="14">
    <mergeCell ref="B52:B54"/>
    <mergeCell ref="B10:B13"/>
    <mergeCell ref="B14:B17"/>
    <mergeCell ref="B18:B21"/>
    <mergeCell ref="B2:E2"/>
    <mergeCell ref="C6:E6"/>
    <mergeCell ref="C7:E7"/>
    <mergeCell ref="B4:E4"/>
    <mergeCell ref="B22:B26"/>
    <mergeCell ref="B27:B31"/>
    <mergeCell ref="B32:B36"/>
    <mergeCell ref="B41:B48"/>
    <mergeCell ref="B49:B51"/>
    <mergeCell ref="B37:B4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886F-340E-0148-B05E-7E4130A217A7}">
  <dimension ref="A1:D13"/>
  <sheetViews>
    <sheetView topLeftCell="A7" workbookViewId="0">
      <selection activeCell="C10" sqref="C10"/>
    </sheetView>
  </sheetViews>
  <sheetFormatPr baseColWidth="10" defaultRowHeight="15" x14ac:dyDescent="0.2"/>
  <cols>
    <col min="2" max="2" width="34.83203125" customWidth="1"/>
    <col min="3" max="3" width="48.33203125" customWidth="1"/>
    <col min="4" max="4" width="53" customWidth="1"/>
  </cols>
  <sheetData>
    <row r="1" spans="1:4" ht="39" customHeight="1" x14ac:dyDescent="0.2">
      <c r="A1" s="41"/>
      <c r="B1" s="19" t="s">
        <v>23</v>
      </c>
      <c r="C1" s="19" t="s">
        <v>24</v>
      </c>
      <c r="D1" s="19" t="s">
        <v>25</v>
      </c>
    </row>
    <row r="2" spans="1:4" ht="39" customHeight="1" thickBot="1" x14ac:dyDescent="0.25">
      <c r="A2" s="42"/>
      <c r="B2" s="20">
        <v>0</v>
      </c>
      <c r="C2" s="20">
        <v>-0.25</v>
      </c>
      <c r="D2" s="20" t="s">
        <v>26</v>
      </c>
    </row>
    <row r="3" spans="1:4" ht="39" customHeight="1" x14ac:dyDescent="0.2">
      <c r="A3" s="39" t="s">
        <v>27</v>
      </c>
      <c r="B3" s="21" t="s">
        <v>28</v>
      </c>
      <c r="C3" s="21" t="s">
        <v>29</v>
      </c>
      <c r="D3" s="21" t="s">
        <v>30</v>
      </c>
    </row>
    <row r="4" spans="1:4" ht="39" customHeight="1" thickBot="1" x14ac:dyDescent="0.25">
      <c r="A4" s="40"/>
      <c r="B4" s="22" t="s">
        <v>31</v>
      </c>
      <c r="C4" s="22" t="s">
        <v>32</v>
      </c>
      <c r="D4" s="22" t="s">
        <v>32</v>
      </c>
    </row>
    <row r="5" spans="1:4" ht="39" customHeight="1" x14ac:dyDescent="0.2">
      <c r="A5" s="39" t="s">
        <v>33</v>
      </c>
      <c r="B5" s="21" t="s">
        <v>34</v>
      </c>
      <c r="C5" s="21" t="s">
        <v>35</v>
      </c>
      <c r="D5" s="21" t="s">
        <v>36</v>
      </c>
    </row>
    <row r="6" spans="1:4" ht="39" customHeight="1" x14ac:dyDescent="0.2">
      <c r="A6" s="43"/>
      <c r="B6" s="21" t="s">
        <v>37</v>
      </c>
      <c r="C6" s="21" t="s">
        <v>38</v>
      </c>
      <c r="D6" s="21" t="s">
        <v>39</v>
      </c>
    </row>
    <row r="7" spans="1:4" ht="39" customHeight="1" x14ac:dyDescent="0.2">
      <c r="A7" s="43"/>
      <c r="B7" s="21" t="s">
        <v>40</v>
      </c>
      <c r="C7" s="21" t="s">
        <v>41</v>
      </c>
      <c r="D7" s="21" t="s">
        <v>42</v>
      </c>
    </row>
    <row r="8" spans="1:4" ht="39" customHeight="1" thickBot="1" x14ac:dyDescent="0.25">
      <c r="A8" s="40"/>
      <c r="B8" s="22" t="s">
        <v>43</v>
      </c>
      <c r="C8" s="22" t="s">
        <v>44</v>
      </c>
      <c r="D8" s="22" t="s">
        <v>45</v>
      </c>
    </row>
    <row r="9" spans="1:4" ht="39" customHeight="1" x14ac:dyDescent="0.2">
      <c r="A9" s="39" t="s">
        <v>46</v>
      </c>
      <c r="B9" s="44" t="s">
        <v>47</v>
      </c>
      <c r="C9" s="21" t="s">
        <v>48</v>
      </c>
      <c r="D9" s="21" t="s">
        <v>49</v>
      </c>
    </row>
    <row r="10" spans="1:4" ht="66" customHeight="1" thickBot="1" x14ac:dyDescent="0.25">
      <c r="A10" s="40"/>
      <c r="B10" s="45"/>
      <c r="C10" s="22" t="s">
        <v>50</v>
      </c>
      <c r="D10" s="22" t="s">
        <v>51</v>
      </c>
    </row>
    <row r="11" spans="1:4" ht="39" customHeight="1" x14ac:dyDescent="0.2">
      <c r="A11" s="39" t="s">
        <v>52</v>
      </c>
      <c r="B11" s="21" t="s">
        <v>53</v>
      </c>
      <c r="C11" s="21" t="s">
        <v>54</v>
      </c>
      <c r="D11" s="21" t="s">
        <v>55</v>
      </c>
    </row>
    <row r="12" spans="1:4" ht="56" customHeight="1" thickBot="1" x14ac:dyDescent="0.25">
      <c r="A12" s="40"/>
      <c r="B12" s="22" t="s">
        <v>56</v>
      </c>
      <c r="C12" s="22" t="s">
        <v>57</v>
      </c>
      <c r="D12" s="22" t="s">
        <v>58</v>
      </c>
    </row>
    <row r="13" spans="1:4" ht="93" customHeight="1" thickBot="1" x14ac:dyDescent="0.25">
      <c r="A13" s="23" t="s">
        <v>59</v>
      </c>
      <c r="B13" s="24" t="s">
        <v>60</v>
      </c>
      <c r="C13" s="24" t="s">
        <v>61</v>
      </c>
      <c r="D13" s="24" t="s">
        <v>62</v>
      </c>
    </row>
  </sheetData>
  <mergeCells count="6">
    <mergeCell ref="B9:B10"/>
    <mergeCell ref="A11:A12"/>
    <mergeCell ref="A1:A2"/>
    <mergeCell ref="A3:A4"/>
    <mergeCell ref="A5:A8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 Distribution</vt:lpstr>
      <vt:lpstr>Genreal features evaluation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00004900</dc:creator>
  <cp:keywords/>
  <dc:description/>
  <cp:lastModifiedBy>ABEER ADIL ABDULHADI ALHUZALI</cp:lastModifiedBy>
  <cp:revision/>
  <dcterms:created xsi:type="dcterms:W3CDTF">2015-02-24T09:50:57Z</dcterms:created>
  <dcterms:modified xsi:type="dcterms:W3CDTF">2026-02-07T13:47:22Z</dcterms:modified>
  <cp:category/>
  <cp:contentStatus/>
</cp:coreProperties>
</file>